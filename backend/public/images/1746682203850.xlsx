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firstSheet="1" activeTab="4"/>
  </bookViews>
  <sheets>
    <sheet name="Admin Portal - Merchant Ledger" sheetId="2" r:id="rId1"/>
    <sheet name="Merchant Portal" sheetId="3" r:id="rId2"/>
    <sheet name="Admin Portal - End user Ledger" sheetId="5" r:id="rId3"/>
    <sheet name="End User Wallet Page" sheetId="6" r:id="rId4"/>
    <sheet name="Calculation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<sst xmlns="http://schemas.openxmlformats.org/spreadsheetml/2006/main" count="155" uniqueCount="74">
  <si>
    <t>Merchant Payment Page in admin portal</t>
  </si>
  <si>
    <t>Total Receivable</t>
  </si>
  <si>
    <t>Merchant ID - Name</t>
  </si>
  <si>
    <t>Mail ID</t>
  </si>
  <si>
    <t>Running Balance</t>
  </si>
  <si>
    <t>Digital depths</t>
  </si>
  <si>
    <t>djjsdjs</t>
  </si>
  <si>
    <t>Noble Ventures</t>
  </si>
  <si>
    <t>kjedjefj</t>
  </si>
  <si>
    <t>Merchant Ledger - Digital depths</t>
  </si>
  <si>
    <t xml:space="preserve">Updated Date </t>
  </si>
  <si>
    <t>Deal Title</t>
  </si>
  <si>
    <t>Tracking ID</t>
  </si>
  <si>
    <t>Incredible Price</t>
  </si>
  <si>
    <t>Merchant Paid</t>
  </si>
  <si>
    <t>oppo</t>
  </si>
  <si>
    <t>FMPP7787878</t>
  </si>
  <si>
    <t>FMPP7844445</t>
  </si>
  <si>
    <t>samsung</t>
  </si>
  <si>
    <t>FMPP7781111</t>
  </si>
  <si>
    <t>Notes</t>
  </si>
  <si>
    <t>(when admin clicks submit UTR button)</t>
  </si>
  <si>
    <t>Merchant Payment Recieved</t>
  </si>
  <si>
    <t>Submit UTR for Payment</t>
  </si>
  <si>
    <t>Date</t>
  </si>
  <si>
    <t>UTR</t>
  </si>
  <si>
    <t>Remarks</t>
  </si>
  <si>
    <t>Amount</t>
  </si>
  <si>
    <t>User Payment - in Admin Portal</t>
  </si>
  <si>
    <t>Uder ID</t>
  </si>
  <si>
    <t>User Name</t>
  </si>
  <si>
    <t>Payable Amount</t>
  </si>
  <si>
    <t>Submit UTR For Payment</t>
  </si>
  <si>
    <t>Sample excel format</t>
  </si>
  <si>
    <t>AD0001</t>
  </si>
  <si>
    <t>suresh singh</t>
  </si>
  <si>
    <t>AD0002</t>
  </si>
  <si>
    <t>geeta kumari</t>
  </si>
  <si>
    <t>Sample excel</t>
  </si>
  <si>
    <t>sent from Rohan Bhai ac</t>
  </si>
  <si>
    <t>AD0003</t>
  </si>
  <si>
    <t>sita</t>
  </si>
  <si>
    <t>HDFC Bank</t>
  </si>
  <si>
    <t>AD0004</t>
  </si>
  <si>
    <t>radhika</t>
  </si>
  <si>
    <t>Upload Excel</t>
  </si>
  <si>
    <t>ICICI Bank</t>
  </si>
  <si>
    <t>Notes for Payment excel</t>
  </si>
  <si>
    <t>END User Ledger - AD0001</t>
  </si>
  <si>
    <t>Payment excel Heading</t>
  </si>
  <si>
    <t>Visible in Ledger  coloum</t>
  </si>
  <si>
    <t>Payment Date</t>
  </si>
  <si>
    <t>Receive from APP</t>
  </si>
  <si>
    <t>Admin Paid amount</t>
  </si>
  <si>
    <t>A</t>
  </si>
  <si>
    <t>Profit Earned</t>
  </si>
  <si>
    <t>comission Paid by Admin to User</t>
  </si>
  <si>
    <t>B</t>
  </si>
  <si>
    <t>TDS Deducted</t>
  </si>
  <si>
    <t>Net Profit earned</t>
  </si>
  <si>
    <t>A-B</t>
  </si>
  <si>
    <t>Deal Number</t>
  </si>
  <si>
    <t>DD002</t>
  </si>
  <si>
    <t>Price</t>
  </si>
  <si>
    <t xml:space="preserve">Mrp </t>
  </si>
  <si>
    <t>Amount Quoted by admin to Merchant</t>
  </si>
  <si>
    <t>Offer Amount</t>
  </si>
  <si>
    <t>Dis</t>
  </si>
  <si>
    <t>Offer Cash</t>
  </si>
  <si>
    <t>Comisson Given by admin to end user</t>
  </si>
  <si>
    <t>You will spend</t>
  </si>
  <si>
    <t>receive from App</t>
  </si>
  <si>
    <t>To ve used in User Ledger</t>
  </si>
  <si>
    <t xml:space="preserve"> To be used in Merchant Ledger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</si>
</sst>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2">
    <font>
      <sz val="11"/>
      <color theme="1"/>
      <name val="Calibri"/>
      <charset val="134"/>
      <scheme val="minor"/>
    </font>
    <font>
      <sz val="10.5"/>
      <color rgb="FF374151"/>
      <name val="Segoe UI"/>
      <charset val="134"/>
    </font>
    <font>
      <b/>
      <sz val="9"/>
      <color rgb="FF37415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18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>
      <alignment vertical="center"/>
    </xf>
    <xf numFmtId="180" fontId="0" fillId="0" borderId="1" xfId="0" applyNumberFormat="1" applyBorder="1">
      <alignment vertical="center"/>
    </xf>
    <xf numFmtId="0" fontId="2" fillId="0" borderId="0" xfId="0" applyFont="1">
      <alignment vertical="center"/>
    </xf>
    <xf numFmtId="180" fontId="0" fillId="0" borderId="2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18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C3" sqref="C3"/>
    </sheetView>
  </sheetViews>
  <sheetFormatPr defaultColWidth="8.88888888888889" defaultRowHeight="14.4" outlineLevelCol="6"/>
  <cols>
    <col min="1" max="1" width="22.4444444444444" customWidth="1"/>
    <col min="2" max="2" width="16.1111111111111" customWidth="1"/>
    <col min="3" max="4" width="28.7777777777778" customWidth="1"/>
  </cols>
  <sheetData>
    <row r="1" spans="1:7">
      <c r="A1" s="10"/>
      <c r="B1" s="11"/>
      <c r="C1" s="12" t="s">
        <v>0</v>
      </c>
      <c r="D1" s="12"/>
      <c r="E1" s="12"/>
      <c r="F1" s="12"/>
      <c r="G1" s="26"/>
    </row>
    <row r="2" spans="1:7">
      <c r="A2" s="9"/>
      <c r="B2"/>
      <c r="C2"/>
      <c r="E2" t="s">
        <v>1</v>
      </c>
      <c r="G2" s="16"/>
    </row>
    <row r="3" spans="1:7">
      <c r="A3" s="9" t="s">
        <v>2</v>
      </c>
      <c r="B3" t="s">
        <v>3</v>
      </c>
      <c r="C3" t="s">
        <v>4</v>
      </c>
      <c r="G3" s="16"/>
    </row>
    <row r="4" spans="1:7">
      <c r="A4" s="9" t="s">
        <v>5</v>
      </c>
      <c r="B4" t="s">
        <v>6</v>
      </c>
      <c r="C4">
        <v>13000</v>
      </c>
      <c r="D4"/>
      <c r="G4" s="16"/>
    </row>
    <row r="5" spans="1:7">
      <c r="A5" s="9" t="s">
        <v>7</v>
      </c>
      <c r="B5" t="s">
        <v>8</v>
      </c>
      <c r="C5">
        <v>400000</v>
      </c>
      <c r="G5" s="16"/>
    </row>
    <row r="6" spans="1:7">
      <c r="A6" s="9"/>
      <c r="B6"/>
      <c r="C6"/>
      <c r="G6" s="16"/>
    </row>
    <row r="7" spans="1:7">
      <c r="A7" s="23"/>
      <c r="G7" s="16"/>
    </row>
    <row r="8" ht="15.15" spans="1:7">
      <c r="A8" s="13"/>
      <c r="B8" s="14"/>
      <c r="C8" s="14"/>
      <c r="D8" s="14"/>
      <c r="E8" s="14"/>
      <c r="F8" s="14"/>
      <c r="G8" s="20"/>
    </row>
    <row r="12" spans="1:7">
      <c r="A12" s="27"/>
      <c r="B12" s="28"/>
      <c r="C12" s="28"/>
      <c r="D12" s="28"/>
      <c r="E12" s="28"/>
      <c r="F12" s="28"/>
      <c r="G12" s="29"/>
    </row>
    <row r="13" spans="1:7">
      <c r="A13" s="30"/>
      <c r="B13" s="7"/>
      <c r="C13" s="31" t="s">
        <v>9</v>
      </c>
      <c r="D13" s="31"/>
      <c r="E13" s="7"/>
      <c r="F13" s="7"/>
      <c r="G13" s="32"/>
    </row>
    <row r="14" spans="1:7">
      <c r="A14" s="30" t="s">
        <v>10</v>
      </c>
      <c r="B14" s="33" t="s">
        <v>11</v>
      </c>
      <c r="C14" s="7" t="s">
        <v>12</v>
      </c>
      <c r="D14" s="7" t="s">
        <v>13</v>
      </c>
      <c r="E14" s="7" t="s">
        <v>14</v>
      </c>
      <c r="F14" s="7" t="s">
        <v>4</v>
      </c>
      <c r="G14" s="32"/>
    </row>
    <row r="15" spans="1:7">
      <c r="A15" s="34">
        <v>45703</v>
      </c>
      <c r="B15" s="7" t="s">
        <v>15</v>
      </c>
      <c r="C15" s="7" t="s">
        <v>16</v>
      </c>
      <c r="D15" s="7">
        <v>15800</v>
      </c>
      <c r="E15" s="7"/>
      <c r="F15" s="7">
        <f>D15</f>
        <v>15800</v>
      </c>
      <c r="G15" s="32"/>
    </row>
    <row r="16" spans="1:7">
      <c r="A16" s="34">
        <v>45704</v>
      </c>
      <c r="B16" s="7" t="s">
        <v>15</v>
      </c>
      <c r="C16" s="7" t="s">
        <v>17</v>
      </c>
      <c r="D16" s="7">
        <v>15800</v>
      </c>
      <c r="E16" s="7"/>
      <c r="F16" s="7">
        <f t="shared" ref="F16:F18" si="0">F15+D16-E16</f>
        <v>31600</v>
      </c>
      <c r="G16" s="32"/>
    </row>
    <row r="17" spans="1:7">
      <c r="A17" s="34">
        <v>45706</v>
      </c>
      <c r="B17" s="7" t="s">
        <v>18</v>
      </c>
      <c r="C17" s="7" t="s">
        <v>19</v>
      </c>
      <c r="D17" s="7">
        <v>11400</v>
      </c>
      <c r="E17" s="7"/>
      <c r="F17" s="7">
        <f t="shared" si="0"/>
        <v>43000</v>
      </c>
      <c r="G17" s="32"/>
    </row>
    <row r="18" spans="1:7">
      <c r="A18" s="34">
        <v>45707</v>
      </c>
      <c r="B18" s="7"/>
      <c r="C18" s="7">
        <v>8989898</v>
      </c>
      <c r="D18" s="7"/>
      <c r="E18" s="7">
        <v>30000</v>
      </c>
      <c r="F18" s="7">
        <f t="shared" si="0"/>
        <v>13000</v>
      </c>
      <c r="G18" s="32"/>
    </row>
    <row r="19" spans="1:7">
      <c r="A19" s="30"/>
      <c r="B19" s="7"/>
      <c r="C19" s="7"/>
      <c r="D19" s="7"/>
      <c r="E19" s="7"/>
      <c r="F19" s="7"/>
      <c r="G19" s="32"/>
    </row>
    <row r="20" spans="1:7">
      <c r="A20" s="30" t="s">
        <v>20</v>
      </c>
      <c r="B20" s="7"/>
      <c r="C20" s="7"/>
      <c r="D20" s="7"/>
      <c r="E20" s="7"/>
      <c r="F20" s="7"/>
      <c r="G20" s="32"/>
    </row>
    <row r="21" spans="1:7">
      <c r="A21" s="30" t="s">
        <v>10</v>
      </c>
      <c r="B21" s="7" t="s">
        <v>21</v>
      </c>
      <c r="C21" s="7"/>
      <c r="D21" s="7"/>
      <c r="E21" s="7"/>
      <c r="F21" s="7"/>
      <c r="G21" s="32"/>
    </row>
    <row r="22" spans="1:7">
      <c r="A22" s="35"/>
      <c r="B22" s="36"/>
      <c r="C22" s="36"/>
      <c r="D22" s="36"/>
      <c r="E22" s="36"/>
      <c r="F22" s="36"/>
      <c r="G22" s="37"/>
    </row>
  </sheetData>
  <mergeCells count="2">
    <mergeCell ref="C1:G1"/>
    <mergeCell ref="C13:D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E13" sqref="E13"/>
    </sheetView>
  </sheetViews>
  <sheetFormatPr defaultColWidth="8.88888888888889" defaultRowHeight="14.4"/>
  <cols>
    <col min="1" max="1" width="19.6666666666667" customWidth="1"/>
    <col min="2" max="2" width="14.7777777777778" customWidth="1"/>
    <col min="3" max="3" width="17.8888888888889" customWidth="1"/>
    <col min="4" max="4" width="14.8888888888889" customWidth="1"/>
    <col min="5" max="5" width="17" customWidth="1"/>
    <col min="6" max="6" width="14.1111111111111" customWidth="1"/>
    <col min="12" max="12" width="15.8888888888889" customWidth="1"/>
  </cols>
  <sheetData>
    <row r="1" spans="6:9">
      <c r="F1" s="17" t="s">
        <v>22</v>
      </c>
      <c r="G1" s="17"/>
      <c r="H1" s="17"/>
      <c r="I1" s="17"/>
    </row>
    <row r="3" spans="1:14">
      <c r="A3" s="9" t="s">
        <v>10</v>
      </c>
      <c r="B3" s="22" t="s">
        <v>11</v>
      </c>
      <c r="C3" t="s">
        <v>12</v>
      </c>
      <c r="D3" t="s">
        <v>13</v>
      </c>
      <c r="E3" t="s">
        <v>14</v>
      </c>
      <c r="F3" t="s">
        <v>4</v>
      </c>
      <c r="G3" s="16"/>
      <c r="K3" s="24" t="s">
        <v>23</v>
      </c>
      <c r="L3" s="24"/>
      <c r="M3" s="24"/>
      <c r="N3" s="24"/>
    </row>
    <row r="4" ht="13" customHeight="1" spans="1:14">
      <c r="A4" s="23">
        <v>45703</v>
      </c>
      <c r="B4" t="s">
        <v>15</v>
      </c>
      <c r="C4" t="s">
        <v>16</v>
      </c>
      <c r="D4">
        <v>15800</v>
      </c>
      <c r="E4"/>
      <c r="F4">
        <f>D4</f>
        <v>15800</v>
      </c>
      <c r="G4" s="16"/>
      <c r="K4" s="5" t="s">
        <v>24</v>
      </c>
      <c r="L4" s="4">
        <v>45707</v>
      </c>
      <c r="M4" s="5"/>
      <c r="N4" s="2"/>
    </row>
    <row r="5" spans="1:14">
      <c r="A5" s="23">
        <v>45704</v>
      </c>
      <c r="B5" t="s">
        <v>15</v>
      </c>
      <c r="C5" t="s">
        <v>17</v>
      </c>
      <c r="D5">
        <v>15800</v>
      </c>
      <c r="F5">
        <f t="shared" ref="F5:F7" si="0">F4+D5-E5</f>
        <v>31600</v>
      </c>
      <c r="G5" s="16"/>
      <c r="K5" s="5" t="s">
        <v>25</v>
      </c>
      <c r="L5" s="2">
        <v>8989898</v>
      </c>
      <c r="M5" s="5"/>
      <c r="N5" s="2"/>
    </row>
    <row r="6" spans="1:14">
      <c r="A6" s="23">
        <v>45706</v>
      </c>
      <c r="B6" t="s">
        <v>18</v>
      </c>
      <c r="C6" t="s">
        <v>19</v>
      </c>
      <c r="D6">
        <v>11400</v>
      </c>
      <c r="F6">
        <f t="shared" si="0"/>
        <v>43000</v>
      </c>
      <c r="G6" s="16"/>
      <c r="K6" s="5" t="s">
        <v>26</v>
      </c>
      <c r="L6" s="2"/>
      <c r="M6" s="5"/>
      <c r="N6" s="2"/>
    </row>
    <row r="7" ht="15.15" spans="1:14">
      <c r="A7" s="23">
        <v>45707</v>
      </c>
      <c r="C7">
        <v>8989898</v>
      </c>
      <c r="E7">
        <v>30000</v>
      </c>
      <c r="F7">
        <f t="shared" si="0"/>
        <v>13000</v>
      </c>
      <c r="G7" s="16"/>
      <c r="K7" s="5" t="s">
        <v>27</v>
      </c>
      <c r="L7" s="2">
        <v>30000</v>
      </c>
      <c r="M7" s="5"/>
      <c r="N7" s="2"/>
    </row>
    <row r="8" spans="1:7">
      <c r="A8" s="9"/>
      <c r="G8" s="16"/>
    </row>
    <row r="9" spans="1:7">
      <c r="A9" s="9" t="s">
        <v>20</v>
      </c>
      <c r="G9" s="16"/>
    </row>
    <row r="10" spans="1:7">
      <c r="A10" s="9" t="s">
        <v>10</v>
      </c>
      <c r="B10" t="s">
        <v>21</v>
      </c>
      <c r="G10" s="16"/>
    </row>
    <row r="12" spans="11:12">
      <c r="K12" s="5" t="s">
        <v>24</v>
      </c>
      <c r="L12" s="5" t="s">
        <v>10</v>
      </c>
    </row>
    <row r="13" spans="11:12">
      <c r="K13" s="5" t="s">
        <v>25</v>
      </c>
      <c r="L13" s="5" t="s">
        <v>12</v>
      </c>
    </row>
    <row r="14" spans="11:12">
      <c r="K14" s="5" t="s">
        <v>26</v>
      </c>
      <c r="L14" s="25" t="s">
        <v>11</v>
      </c>
    </row>
    <row r="15" spans="11:12">
      <c r="K15" s="5" t="s">
        <v>27</v>
      </c>
      <c r="L15" s="5" t="s">
        <v>14</v>
      </c>
    </row>
  </sheetData>
  <mergeCells count="2">
    <mergeCell ref="F1:I1"/>
    <mergeCell ref="K3:N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26"/>
  <sheetViews>
    <sheetView workbookViewId="0">
      <selection activeCell="R5" sqref="R5:V10"/>
    </sheetView>
  </sheetViews>
  <sheetFormatPr defaultColWidth="8.88888888888889" defaultRowHeight="14.4"/>
  <cols>
    <col min="1" max="2" width="16.4444444444444" customWidth="1"/>
    <col min="3" max="3" width="14.3333333333333" customWidth="1"/>
    <col min="4" max="4" width="20.2222222222222" customWidth="1"/>
    <col min="5" max="5" width="19.8888888888889" customWidth="1"/>
    <col min="6" max="6" width="17.3333333333333" customWidth="1"/>
    <col min="7" max="7" width="15.5555555555556" customWidth="1"/>
    <col min="13" max="13" width="25.2222222222222" customWidth="1"/>
    <col min="19" max="19" width="21.7777777777778" customWidth="1"/>
    <col min="20" max="20" width="21" customWidth="1"/>
  </cols>
  <sheetData>
    <row r="2" spans="1:14">
      <c r="A2" s="10"/>
      <c r="B2" s="11"/>
      <c r="C2" s="11"/>
      <c r="D2" s="11"/>
      <c r="E2" s="11"/>
      <c r="F2" s="11"/>
      <c r="G2" s="11"/>
      <c r="H2" s="12" t="s">
        <v>28</v>
      </c>
      <c r="I2" s="12"/>
      <c r="J2" s="12"/>
      <c r="K2" s="12"/>
      <c r="L2" s="11"/>
      <c r="M2" s="11"/>
      <c r="N2" s="15"/>
    </row>
    <row r="3" spans="1:14">
      <c r="A3" s="9"/>
      <c r="N3" s="16"/>
    </row>
    <row r="4" spans="1:20">
      <c r="A4" s="9" t="s">
        <v>29</v>
      </c>
      <c r="C4" t="s">
        <v>30</v>
      </c>
      <c r="D4" t="s">
        <v>31</v>
      </c>
      <c r="K4" s="17" t="s">
        <v>32</v>
      </c>
      <c r="L4" s="17"/>
      <c r="M4" s="17"/>
      <c r="N4" s="18"/>
      <c r="T4" s="5" t="s">
        <v>33</v>
      </c>
    </row>
    <row r="5" spans="1:22">
      <c r="A5" s="9" t="s">
        <v>34</v>
      </c>
      <c r="C5" t="s">
        <v>35</v>
      </c>
      <c r="D5">
        <v>45000</v>
      </c>
      <c r="N5" s="16"/>
      <c r="R5" s="5" t="s">
        <v>24</v>
      </c>
      <c r="S5" s="5" t="s">
        <v>25</v>
      </c>
      <c r="T5" s="5" t="s">
        <v>26</v>
      </c>
      <c r="U5" s="5" t="s">
        <v>29</v>
      </c>
      <c r="V5" s="5" t="s">
        <v>27</v>
      </c>
    </row>
    <row r="6" spans="1:22">
      <c r="A6" s="9" t="s">
        <v>36</v>
      </c>
      <c r="C6" t="s">
        <v>37</v>
      </c>
      <c r="D6">
        <v>36000</v>
      </c>
      <c r="K6" s="19" t="s">
        <v>38</v>
      </c>
      <c r="L6" s="19"/>
      <c r="N6" s="16"/>
      <c r="R6" s="21">
        <v>45701</v>
      </c>
      <c r="S6" s="5">
        <v>555</v>
      </c>
      <c r="T6" s="5" t="s">
        <v>39</v>
      </c>
      <c r="U6" s="5" t="s">
        <v>34</v>
      </c>
      <c r="V6" s="5">
        <v>11000</v>
      </c>
    </row>
    <row r="7" spans="1:22">
      <c r="A7" s="9" t="s">
        <v>40</v>
      </c>
      <c r="C7" t="s">
        <v>41</v>
      </c>
      <c r="D7">
        <v>18500</v>
      </c>
      <c r="N7" s="16"/>
      <c r="R7" s="21">
        <v>45704</v>
      </c>
      <c r="S7" s="5">
        <v>444</v>
      </c>
      <c r="T7" s="5" t="s">
        <v>42</v>
      </c>
      <c r="U7" s="5" t="s">
        <v>34</v>
      </c>
      <c r="V7" s="5">
        <v>15000</v>
      </c>
    </row>
    <row r="8" spans="1:22">
      <c r="A8" s="9" t="s">
        <v>43</v>
      </c>
      <c r="C8" t="s">
        <v>44</v>
      </c>
      <c r="D8">
        <v>19000</v>
      </c>
      <c r="K8" s="19" t="s">
        <v>45</v>
      </c>
      <c r="L8" s="19"/>
      <c r="N8" s="16"/>
      <c r="R8" s="21">
        <v>45705</v>
      </c>
      <c r="S8" s="5">
        <v>4787</v>
      </c>
      <c r="T8" s="5" t="s">
        <v>42</v>
      </c>
      <c r="U8" s="5" t="s">
        <v>40</v>
      </c>
      <c r="V8" s="5">
        <v>5000</v>
      </c>
    </row>
    <row r="9" spans="1:22">
      <c r="A9" s="9"/>
      <c r="N9" s="16"/>
      <c r="R9" s="21">
        <v>45706</v>
      </c>
      <c r="S9" s="5">
        <v>999</v>
      </c>
      <c r="T9" s="5" t="s">
        <v>46</v>
      </c>
      <c r="U9" s="5" t="s">
        <v>43</v>
      </c>
      <c r="V9" s="5">
        <v>4500</v>
      </c>
    </row>
    <row r="10" spans="1:22">
      <c r="A10" s="9"/>
      <c r="N10" s="16"/>
      <c r="R10" s="21">
        <v>45704</v>
      </c>
      <c r="S10" s="5">
        <v>454</v>
      </c>
      <c r="T10" s="5" t="s">
        <v>39</v>
      </c>
      <c r="U10" s="5" t="s">
        <v>43</v>
      </c>
      <c r="V10" s="5">
        <v>3000</v>
      </c>
    </row>
    <row r="11" ht="15.15" spans="1:14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0"/>
    </row>
    <row r="13" spans="19:19">
      <c r="S13" t="s">
        <v>47</v>
      </c>
    </row>
    <row r="14" spans="1:20">
      <c r="A14" s="10"/>
      <c r="B14" s="11"/>
      <c r="C14" s="11"/>
      <c r="D14" s="11"/>
      <c r="E14" s="11"/>
      <c r="F14" s="11"/>
      <c r="G14" s="11"/>
      <c r="H14" s="12" t="s">
        <v>48</v>
      </c>
      <c r="I14" s="12"/>
      <c r="J14" s="12"/>
      <c r="K14" s="12"/>
      <c r="L14" s="11"/>
      <c r="M14" s="11"/>
      <c r="N14" s="15"/>
      <c r="S14" s="5" t="s">
        <v>49</v>
      </c>
      <c r="T14" s="5" t="s">
        <v>50</v>
      </c>
    </row>
    <row r="15" spans="1:20">
      <c r="A15" s="9"/>
      <c r="N15" s="16"/>
      <c r="S15" s="5" t="s">
        <v>24</v>
      </c>
      <c r="T15" s="5" t="s">
        <v>10</v>
      </c>
    </row>
    <row r="16" spans="1:20">
      <c r="A16" s="2" t="s">
        <v>10</v>
      </c>
      <c r="B16" s="2" t="s">
        <v>51</v>
      </c>
      <c r="C16" s="3" t="s">
        <v>11</v>
      </c>
      <c r="D16" s="2" t="s">
        <v>12</v>
      </c>
      <c r="E16" s="2" t="s">
        <v>52</v>
      </c>
      <c r="F16" s="2" t="s">
        <v>53</v>
      </c>
      <c r="G16" s="2" t="s">
        <v>4</v>
      </c>
      <c r="N16" s="16"/>
      <c r="S16" s="5" t="s">
        <v>25</v>
      </c>
      <c r="T16" s="5" t="s">
        <v>12</v>
      </c>
    </row>
    <row r="17" spans="1:20">
      <c r="A17" s="4">
        <v>45699</v>
      </c>
      <c r="B17" s="4"/>
      <c r="C17" s="2" t="s">
        <v>15</v>
      </c>
      <c r="D17" s="2" t="s">
        <v>16</v>
      </c>
      <c r="E17" s="2">
        <v>15600</v>
      </c>
      <c r="F17" s="2"/>
      <c r="G17" s="2">
        <f>E17</f>
        <v>15600</v>
      </c>
      <c r="N17" s="16"/>
      <c r="S17" s="5" t="s">
        <v>26</v>
      </c>
      <c r="T17" s="5" t="s">
        <v>11</v>
      </c>
    </row>
    <row r="18" spans="1:20">
      <c r="A18" s="4">
        <v>45701</v>
      </c>
      <c r="B18" s="4"/>
      <c r="C18" s="2" t="s">
        <v>15</v>
      </c>
      <c r="D18" s="2" t="s">
        <v>17</v>
      </c>
      <c r="E18" s="2">
        <v>15600</v>
      </c>
      <c r="F18" s="2"/>
      <c r="G18" s="2">
        <f t="shared" ref="G18:G21" si="0">G17+E18-F18</f>
        <v>31200</v>
      </c>
      <c r="N18" s="16"/>
      <c r="S18" s="5" t="s">
        <v>27</v>
      </c>
      <c r="T18" s="2" t="s">
        <v>53</v>
      </c>
    </row>
    <row r="19" spans="1:14">
      <c r="A19" s="5"/>
      <c r="B19" s="4">
        <v>45701</v>
      </c>
      <c r="C19" s="2" t="s">
        <v>39</v>
      </c>
      <c r="D19" s="2">
        <v>555</v>
      </c>
      <c r="E19" s="2"/>
      <c r="F19" s="2">
        <v>11000</v>
      </c>
      <c r="G19" s="2">
        <f t="shared" si="0"/>
        <v>20200</v>
      </c>
      <c r="N19" s="16"/>
    </row>
    <row r="20" spans="1:14">
      <c r="A20" s="4">
        <v>45703</v>
      </c>
      <c r="B20" s="4"/>
      <c r="C20" s="2" t="s">
        <v>18</v>
      </c>
      <c r="D20" s="2" t="s">
        <v>19</v>
      </c>
      <c r="E20" s="2">
        <v>11200</v>
      </c>
      <c r="F20" s="2"/>
      <c r="G20" s="2">
        <f t="shared" si="0"/>
        <v>31400</v>
      </c>
      <c r="N20" s="16"/>
    </row>
    <row r="21" spans="1:14">
      <c r="A21" s="5"/>
      <c r="B21" s="4">
        <v>45704</v>
      </c>
      <c r="C21" s="2" t="s">
        <v>42</v>
      </c>
      <c r="D21" s="2">
        <v>444</v>
      </c>
      <c r="E21" s="2"/>
      <c r="F21" s="2">
        <v>15000</v>
      </c>
      <c r="G21" s="2">
        <f t="shared" si="0"/>
        <v>16400</v>
      </c>
      <c r="N21" s="16"/>
    </row>
    <row r="22" spans="1:14">
      <c r="A22" s="6"/>
      <c r="B22" s="7"/>
      <c r="C22" s="7"/>
      <c r="D22" s="8"/>
      <c r="E22" s="7"/>
      <c r="F22" s="7"/>
      <c r="G22" s="7"/>
      <c r="N22" s="16"/>
    </row>
    <row r="23" spans="1:14">
      <c r="A23" s="9" t="s">
        <v>20</v>
      </c>
      <c r="N23" s="16"/>
    </row>
    <row r="24" spans="1:14">
      <c r="A24" s="9" t="s">
        <v>10</v>
      </c>
      <c r="C24" t="s">
        <v>21</v>
      </c>
      <c r="N24" s="16"/>
    </row>
    <row r="25" spans="1:14">
      <c r="A25" s="9"/>
      <c r="N25" s="16"/>
    </row>
    <row r="26" ht="15.15" spans="1:14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0"/>
    </row>
  </sheetData>
  <mergeCells count="5">
    <mergeCell ref="H2:K2"/>
    <mergeCell ref="K4:N4"/>
    <mergeCell ref="K6:L6"/>
    <mergeCell ref="K8:L8"/>
    <mergeCell ref="H14:K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K2" sqref="K2"/>
    </sheetView>
  </sheetViews>
  <sheetFormatPr defaultColWidth="8.88888888888889" defaultRowHeight="14.4"/>
  <cols>
    <col min="1" max="1" width="13.8888888888889" customWidth="1"/>
    <col min="2" max="2" width="22.1111111111111" customWidth="1"/>
    <col min="3" max="3" width="13.6666666666667" customWidth="1"/>
    <col min="4" max="4" width="16.7777777777778" customWidth="1"/>
    <col min="5" max="5" width="18.4444444444444" customWidth="1"/>
    <col min="6" max="6" width="15.6666666666667" customWidth="1"/>
    <col min="7" max="7" width="17.1111111111111" customWidth="1"/>
    <col min="10" max="10" width="15.6666666666667" customWidth="1"/>
  </cols>
  <sheetData>
    <row r="1" spans="9:11">
      <c r="I1" t="s">
        <v>54</v>
      </c>
      <c r="J1" s="5" t="s">
        <v>55</v>
      </c>
      <c r="K1" s="5" t="s">
        <v>56</v>
      </c>
    </row>
    <row r="2" spans="1:11">
      <c r="A2" s="2" t="s">
        <v>10</v>
      </c>
      <c r="B2" s="2" t="s">
        <v>51</v>
      </c>
      <c r="C2" s="3" t="s">
        <v>11</v>
      </c>
      <c r="D2" s="2" t="s">
        <v>12</v>
      </c>
      <c r="E2" s="2" t="s">
        <v>52</v>
      </c>
      <c r="F2" s="2" t="s">
        <v>53</v>
      </c>
      <c r="G2" s="2" t="s">
        <v>4</v>
      </c>
      <c r="I2" t="s">
        <v>57</v>
      </c>
      <c r="J2" s="5" t="s">
        <v>58</v>
      </c>
      <c r="K2" s="5"/>
    </row>
    <row r="3" spans="1:11">
      <c r="A3" s="4">
        <v>45699</v>
      </c>
      <c r="B3" s="4"/>
      <c r="C3" s="2" t="s">
        <v>15</v>
      </c>
      <c r="D3" s="2" t="s">
        <v>16</v>
      </c>
      <c r="E3" s="2">
        <v>15600</v>
      </c>
      <c r="F3" s="2"/>
      <c r="G3" s="2">
        <f>E3</f>
        <v>15600</v>
      </c>
      <c r="J3" s="5" t="s">
        <v>59</v>
      </c>
      <c r="K3" s="5" t="s">
        <v>60</v>
      </c>
    </row>
    <row r="4" spans="1:7">
      <c r="A4" s="4">
        <v>45701</v>
      </c>
      <c r="B4" s="4"/>
      <c r="C4" s="2" t="s">
        <v>15</v>
      </c>
      <c r="D4" s="2" t="s">
        <v>17</v>
      </c>
      <c r="E4" s="2">
        <v>15600</v>
      </c>
      <c r="F4" s="2"/>
      <c r="G4" s="2">
        <f t="shared" ref="G4:G7" si="0">G3+E4-F4</f>
        <v>31200</v>
      </c>
    </row>
    <row r="5" spans="1:7">
      <c r="A5" s="5"/>
      <c r="B5" s="4">
        <v>45701</v>
      </c>
      <c r="C5" s="2" t="s">
        <v>39</v>
      </c>
      <c r="D5" s="2">
        <v>555</v>
      </c>
      <c r="E5" s="2"/>
      <c r="F5" s="2">
        <v>11000</v>
      </c>
      <c r="G5" s="2">
        <f t="shared" si="0"/>
        <v>20200</v>
      </c>
    </row>
    <row r="6" spans="1:7">
      <c r="A6" s="4">
        <v>45703</v>
      </c>
      <c r="B6" s="4"/>
      <c r="C6" s="2" t="s">
        <v>18</v>
      </c>
      <c r="D6" s="2" t="s">
        <v>19</v>
      </c>
      <c r="E6" s="2">
        <v>11200</v>
      </c>
      <c r="F6" s="2"/>
      <c r="G6" s="2">
        <f t="shared" si="0"/>
        <v>31400</v>
      </c>
    </row>
    <row r="7" spans="1:7">
      <c r="A7" s="5"/>
      <c r="B7" s="4">
        <v>45704</v>
      </c>
      <c r="C7" s="2" t="s">
        <v>42</v>
      </c>
      <c r="D7" s="2">
        <v>444</v>
      </c>
      <c r="E7" s="2"/>
      <c r="F7" s="2">
        <v>15000</v>
      </c>
      <c r="G7" s="2">
        <f t="shared" si="0"/>
        <v>16400</v>
      </c>
    </row>
    <row r="8" spans="1:6">
      <c r="A8" s="6"/>
      <c r="B8" s="7"/>
      <c r="C8" s="8"/>
      <c r="D8" s="7"/>
      <c r="E8" s="7"/>
      <c r="F8" s="7"/>
    </row>
    <row r="9" spans="1:1">
      <c r="A9" s="9" t="s">
        <v>20</v>
      </c>
    </row>
    <row r="10" spans="1:2">
      <c r="A10" s="9" t="s">
        <v>10</v>
      </c>
      <c r="B10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9"/>
  <sheetViews>
    <sheetView tabSelected="1" workbookViewId="0">
      <selection activeCell="F9" sqref="F9"/>
    </sheetView>
  </sheetViews>
  <sheetFormatPr defaultColWidth="8.88888888888889" defaultRowHeight="14.4" outlineLevelCol="3"/>
  <cols>
    <col min="2" max="2" width="36.2222222222222" customWidth="1"/>
  </cols>
  <sheetData>
    <row r="2" spans="2:3">
      <c r="B2" t="s">
        <v>61</v>
      </c>
      <c r="C2" t="s">
        <v>62</v>
      </c>
    </row>
    <row r="3" spans="2:4">
      <c r="B3" t="s">
        <v>63</v>
      </c>
      <c r="C3">
        <v>34990</v>
      </c>
      <c r="D3" t="s">
        <v>64</v>
      </c>
    </row>
    <row r="4" spans="2:4">
      <c r="B4" t="s">
        <v>13</v>
      </c>
      <c r="C4">
        <v>200</v>
      </c>
      <c r="D4" t="s">
        <v>65</v>
      </c>
    </row>
    <row r="5" ht="16.8" spans="2:4">
      <c r="B5" s="1" t="s">
        <v>66</v>
      </c>
      <c r="C5">
        <v>4442</v>
      </c>
      <c r="D5" t="s">
        <v>67</v>
      </c>
    </row>
    <row r="6" ht="16.8" spans="2:4">
      <c r="B6" s="1" t="s">
        <v>68</v>
      </c>
      <c r="C6">
        <v>800</v>
      </c>
      <c r="D6" t="s">
        <v>69</v>
      </c>
    </row>
    <row r="7" spans="2:3">
      <c r="B7" t="s">
        <v>70</v>
      </c>
      <c r="C7">
        <f>C3-C5</f>
        <v>30548</v>
      </c>
    </row>
    <row r="8" spans="2:4">
      <c r="B8" t="s">
        <v>71</v>
      </c>
      <c r="C8">
        <f>C7+C6</f>
        <v>31348</v>
      </c>
      <c r="D8" t="s">
        <v>72</v>
      </c>
    </row>
    <row r="9" spans="2:4">
      <c r="B9" t="s">
        <v>13</v>
      </c>
      <c r="C9">
        <f>C8+C4</f>
        <v>31548</v>
      </c>
      <c r="D9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Admin Portal - Merchant Ledger</vt:lpstr>
      <vt:lpstr>Merchant Portal</vt:lpstr>
      <vt:lpstr>Admin Portal - End user Ledger</vt:lpstr>
      <vt:lpstr>End User Wallet Page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</dc:creator>
  <cp:lastModifiedBy>digit</cp:lastModifiedBy>
  <dcterms:created xsi:type="dcterms:W3CDTF">2025-02-20T18:08:00Z</dcterms:created>
  <dcterms:modified xsi:type="dcterms:W3CDTF">2025-02-26T10:05:23Z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56974874E1044A838F4AB6129ED4091B_13</vt:lpwstr>
  </property>
  <property fmtid="{D5CDD505-2E9C-101B-9397-08002B2CF9AE}" pid="3" name="KSOProductBuildVer">
    <vt:lpwstr>1033-12.2.0.20323</vt:lpwstr>
  </property>
</Properties>
</file>